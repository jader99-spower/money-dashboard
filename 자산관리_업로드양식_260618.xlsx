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coding_W\money-dashboard\"/>
    </mc:Choice>
  </mc:AlternateContent>
  <bookViews>
    <workbookView xWindow="0" yWindow="0" windowWidth="25125" windowHeight="12165" activeTab="1"/>
  </bookViews>
  <sheets>
    <sheet name="1. 은행 및 보험 자산" sheetId="1" r:id="rId1"/>
    <sheet name="2. 주식 및 ETF 자산" sheetId="2" r:id="rId2"/>
    <sheet name="3. 주식 매매기록" sheetId="3" r:id="rId3"/>
  </sheets>
  <calcPr calcId="162913"/>
</workbook>
</file>

<file path=xl/calcChain.xml><?xml version="1.0" encoding="utf-8"?>
<calcChain xmlns="http://schemas.openxmlformats.org/spreadsheetml/2006/main">
  <c r="I14" i="2" l="1"/>
  <c r="I13" i="2"/>
  <c r="I11" i="2"/>
  <c r="I10" i="2"/>
  <c r="I9" i="2"/>
  <c r="I8" i="2"/>
  <c r="I7" i="2"/>
  <c r="I6" i="2"/>
  <c r="I5" i="2"/>
  <c r="I4" i="2"/>
  <c r="I3" i="2"/>
  <c r="I2" i="2"/>
  <c r="H14" i="2"/>
  <c r="H13" i="2"/>
  <c r="H12" i="2"/>
  <c r="I12" i="2" s="1"/>
  <c r="H11" i="2"/>
  <c r="H10" i="2"/>
  <c r="H9" i="2"/>
  <c r="H8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<sst xmlns="http://schemas.openxmlformats.org/spreadsheetml/2006/main" count="76" uniqueCount="59">
  <si>
    <t>자산구분</t>
  </si>
  <si>
    <t>금융기관명</t>
  </si>
  <si>
    <t>상품명</t>
  </si>
  <si>
    <t>계좌번호</t>
  </si>
  <si>
    <t>만기일</t>
  </si>
  <si>
    <t>금액(원)</t>
  </si>
  <si>
    <t>이자율(%)</t>
  </si>
  <si>
    <t>비고</t>
  </si>
  <si>
    <t>은행</t>
  </si>
  <si>
    <t>국민은행</t>
  </si>
  <si>
    <t>1234-56-7890</t>
  </si>
  <si>
    <t>보험</t>
  </si>
  <si>
    <t>저축형보험</t>
  </si>
  <si>
    <t>9876-54-3210</t>
  </si>
  <si>
    <t/>
  </si>
  <si>
    <t>종목코드</t>
  </si>
  <si>
    <t>종목명</t>
  </si>
  <si>
    <t>구분</t>
  </si>
  <si>
    <t>보유수량</t>
  </si>
  <si>
    <t>평균단가(원)</t>
  </si>
  <si>
    <t>현재가(원)</t>
  </si>
  <si>
    <t>평가금액(원)</t>
  </si>
  <si>
    <t>손익(원)</t>
  </si>
  <si>
    <t>수익률(%)</t>
  </si>
  <si>
    <t>005930</t>
  </si>
  <si>
    <t>삼성전자</t>
  </si>
  <si>
    <t>주식</t>
  </si>
  <si>
    <t>069500</t>
  </si>
  <si>
    <t>거래일자</t>
  </si>
  <si>
    <t>거래구분</t>
  </si>
  <si>
    <t>거래수량</t>
  </si>
  <si>
    <t>거래단가(원)</t>
  </si>
  <si>
    <t>거래금액(원)</t>
  </si>
  <si>
    <t>수수료(원)</t>
  </si>
  <si>
    <t>세금(원)</t>
  </si>
  <si>
    <t>순손익(원)</t>
  </si>
  <si>
    <t>2025-01-15</t>
  </si>
  <si>
    <t>매수</t>
  </si>
  <si>
    <t>2025-03-20</t>
  </si>
  <si>
    <t>매도</t>
  </si>
  <si>
    <t>은행</t>
    <phoneticPr fontId="2" type="noConversion"/>
  </si>
  <si>
    <t>IM뱅크</t>
    <phoneticPr fontId="2" type="noConversion"/>
  </si>
  <si>
    <t>저축예금</t>
    <phoneticPr fontId="2" type="noConversion"/>
  </si>
  <si>
    <t>KDB생명</t>
    <phoneticPr fontId="2" type="noConversion"/>
  </si>
  <si>
    <t>1234-56-7891</t>
    <phoneticPr fontId="2" type="noConversion"/>
  </si>
  <si>
    <t>삼천리</t>
    <phoneticPr fontId="2" type="noConversion"/>
  </si>
  <si>
    <t>삼성전자</t>
    <phoneticPr fontId="2" type="noConversion"/>
  </si>
  <si>
    <t>NAVER</t>
    <phoneticPr fontId="2" type="noConversion"/>
  </si>
  <si>
    <t>JYP Ent.</t>
    <phoneticPr fontId="2" type="noConversion"/>
  </si>
  <si>
    <t>TIGER 미국배당다우존스</t>
    <phoneticPr fontId="2" type="noConversion"/>
  </si>
  <si>
    <t>KODEX 미국배당커버드콜액티브</t>
    <phoneticPr fontId="2" type="noConversion"/>
  </si>
  <si>
    <t>KODEX 미국AI전력핵심인프라</t>
    <phoneticPr fontId="2" type="noConversion"/>
  </si>
  <si>
    <t>하이브</t>
    <phoneticPr fontId="2" type="noConversion"/>
  </si>
  <si>
    <t>오스테오닉</t>
    <phoneticPr fontId="2" type="noConversion"/>
  </si>
  <si>
    <t>플라즈맵</t>
    <phoneticPr fontId="2" type="noConversion"/>
  </si>
  <si>
    <t>KODEX 고배당주</t>
    <phoneticPr fontId="2" type="noConversion"/>
  </si>
  <si>
    <t>TIGER 미국배당다우존스</t>
    <phoneticPr fontId="2" type="noConversion"/>
  </si>
  <si>
    <t>TIGER 미국배당다우존스타겟커버드콜1호</t>
    <phoneticPr fontId="2" type="noConversion"/>
  </si>
  <si>
    <t>ETF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</si>
</sst>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176" formatCode="0.0%"/>
  </numFmts>
  <fonts count="4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4">
    <xf numFmtId="0" fontId="0" fillId="0" borderId="0" xfId="0" applyNumberFormat="1"/>
    <xf numFmtId="14" fontId="0" fillId="0" borderId="0" xfId="0" applyNumberFormat="1"/>
    <xf numFmtId="176" fontId="0" fillId="0" borderId="0" xfId="1" applyNumberFormat="1" applyFont="1" applyAlignment="1"/>
    <xf numFmtId="41" fontId="3" fillId="0" borderId="0" xfId="2" applyFont="1" applyAlignment="1"/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>
      <selection activeCell="H9" sqref="H9"/>
    </sheetView>
  </sheetViews>
  <sheetFormatPr defaultRowHeight="17.25" x14ac:dyDescent="0.3"/>
  <cols>
    <col min="4" max="4" width="32.44140625" customWidth="1"/>
    <col min="5" max="5" width="17.77734375" customWidth="1"/>
    <col min="6" max="6" width="9.55468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t="s">
        <v>8</v>
      </c>
      <c r="B2" t="s">
        <v>9</v>
      </c>
      <c r="C2" t="s">
        <v>42</v>
      </c>
      <c r="D2" t="s">
        <v>10</v>
      </c>
      <c r="E2" s="1">
        <v>55153</v>
      </c>
      <c r="F2">
        <v>18666360</v>
      </c>
      <c r="G2">
        <v>1.5</v>
      </c>
    </row>
    <row r="3" spans="1:8" x14ac:dyDescent="0.3">
      <c r="A3" t="s">
        <v>40</v>
      </c>
      <c r="B3" t="s">
        <v>41</v>
      </c>
      <c r="C3" t="s">
        <v>42</v>
      </c>
      <c r="D3" t="s">
        <v>44</v>
      </c>
      <c r="E3" s="1">
        <v>55153</v>
      </c>
      <c r="F3">
        <v>12092101</v>
      </c>
      <c r="G3">
        <v>1.2</v>
      </c>
    </row>
    <row r="4" spans="1:8" x14ac:dyDescent="0.3">
      <c r="A4" t="s">
        <v>11</v>
      </c>
      <c r="B4" t="s">
        <v>43</v>
      </c>
      <c r="C4" t="s">
        <v>12</v>
      </c>
      <c r="D4" t="s">
        <v>13</v>
      </c>
      <c r="E4" s="1">
        <v>58498</v>
      </c>
      <c r="F4">
        <v>83083517</v>
      </c>
      <c r="G4">
        <v>3</v>
      </c>
      <c r="H4" t="s">
        <v>14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A4 A1:H1 A2:B2 D2 C4:D4 H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tabSelected="1" workbookViewId="0">
      <selection activeCell="K16" sqref="K16"/>
    </sheetView>
  </sheetViews>
  <sheetFormatPr defaultRowHeight="17.25" x14ac:dyDescent="0.3"/>
  <cols>
    <col min="2" max="2" width="33.5546875" customWidth="1"/>
    <col min="4" max="6" width="9.109375" bestFit="1" customWidth="1"/>
    <col min="7" max="7" width="11.33203125" customWidth="1"/>
    <col min="8" max="8" width="10.44140625" bestFit="1" customWidth="1"/>
  </cols>
  <sheetData>
    <row r="1" spans="1:9" x14ac:dyDescent="0.3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</row>
    <row r="2" spans="1:9" x14ac:dyDescent="0.3">
      <c r="A2" t="s">
        <v>24</v>
      </c>
      <c r="B2" t="s">
        <v>45</v>
      </c>
      <c r="C2" t="s">
        <v>26</v>
      </c>
      <c r="D2" s="3">
        <v>42</v>
      </c>
      <c r="E2" s="3">
        <v>120100</v>
      </c>
      <c r="F2" s="3">
        <v>120500</v>
      </c>
      <c r="G2" s="3">
        <v>5061000</v>
      </c>
      <c r="H2" s="3">
        <f>(F2-E2)*D2</f>
        <v>16800</v>
      </c>
      <c r="I2" s="2">
        <f>H2/(E2*D2)</f>
        <v>3.3305578684429643E-3</v>
      </c>
    </row>
    <row r="3" spans="1:9" x14ac:dyDescent="0.3">
      <c r="A3" t="s">
        <v>27</v>
      </c>
      <c r="B3" t="s">
        <v>46</v>
      </c>
      <c r="C3" t="s">
        <v>26</v>
      </c>
      <c r="D3" s="3">
        <v>55</v>
      </c>
      <c r="E3" s="3">
        <v>146600</v>
      </c>
      <c r="F3" s="3">
        <v>355750</v>
      </c>
      <c r="G3" s="3">
        <v>19566250</v>
      </c>
      <c r="H3" s="3">
        <f t="shared" ref="H3:H14" si="0">(F3-E3)*D3</f>
        <v>11503250</v>
      </c>
      <c r="I3" s="2">
        <f t="shared" ref="I3:I14" si="1">H3/(E3*D3)</f>
        <v>1.4266712141882674</v>
      </c>
    </row>
    <row r="4" spans="1:9" x14ac:dyDescent="0.3">
      <c r="B4" t="s">
        <v>47</v>
      </c>
      <c r="C4" t="s">
        <v>26</v>
      </c>
      <c r="D4" s="3">
        <v>20</v>
      </c>
      <c r="E4" s="3">
        <v>253000</v>
      </c>
      <c r="F4" s="3">
        <v>236500</v>
      </c>
      <c r="G4" s="3">
        <v>4730000</v>
      </c>
      <c r="H4" s="3">
        <f t="shared" si="0"/>
        <v>-330000</v>
      </c>
      <c r="I4" s="2">
        <f t="shared" si="1"/>
        <v>-6.5217391304347824E-2</v>
      </c>
    </row>
    <row r="5" spans="1:9" x14ac:dyDescent="0.3">
      <c r="B5" t="s">
        <v>48</v>
      </c>
      <c r="C5" t="s">
        <v>26</v>
      </c>
      <c r="D5" s="3">
        <v>70</v>
      </c>
      <c r="E5" s="3">
        <v>69800</v>
      </c>
      <c r="F5" s="3">
        <v>55800</v>
      </c>
      <c r="G5" s="3">
        <v>3906000</v>
      </c>
      <c r="H5" s="3">
        <f t="shared" si="0"/>
        <v>-980000</v>
      </c>
      <c r="I5" s="2">
        <f t="shared" si="1"/>
        <v>-0.20057306590257878</v>
      </c>
    </row>
    <row r="6" spans="1:9" x14ac:dyDescent="0.3">
      <c r="B6" t="s">
        <v>50</v>
      </c>
      <c r="C6" t="s">
        <v>58</v>
      </c>
      <c r="D6" s="3">
        <v>189</v>
      </c>
      <c r="E6" s="3">
        <v>12277</v>
      </c>
      <c r="F6" s="3">
        <v>13520</v>
      </c>
      <c r="G6" s="3">
        <v>2555280</v>
      </c>
      <c r="H6" s="3">
        <f t="shared" si="0"/>
        <v>234927</v>
      </c>
      <c r="I6" s="2">
        <f t="shared" si="1"/>
        <v>0.10124623279302761</v>
      </c>
    </row>
    <row r="7" spans="1:9" x14ac:dyDescent="0.3">
      <c r="B7" t="s">
        <v>49</v>
      </c>
      <c r="C7" t="s">
        <v>58</v>
      </c>
      <c r="D7" s="3">
        <v>2417</v>
      </c>
      <c r="E7" s="3">
        <v>13896</v>
      </c>
      <c r="F7" s="3">
        <v>15465</v>
      </c>
      <c r="G7" s="3">
        <v>37378905</v>
      </c>
      <c r="H7" s="3">
        <f t="shared" si="0"/>
        <v>3792273</v>
      </c>
      <c r="I7" s="2">
        <f t="shared" si="1"/>
        <v>0.11291018998272884</v>
      </c>
    </row>
    <row r="8" spans="1:9" x14ac:dyDescent="0.3">
      <c r="B8" t="s">
        <v>51</v>
      </c>
      <c r="C8" t="s">
        <v>58</v>
      </c>
      <c r="D8" s="3">
        <v>169</v>
      </c>
      <c r="E8" s="3">
        <v>17886</v>
      </c>
      <c r="F8" s="3">
        <v>26569.8224852071</v>
      </c>
      <c r="G8" s="3">
        <v>4490300</v>
      </c>
      <c r="H8" s="3">
        <f t="shared" si="0"/>
        <v>1467565.9999999998</v>
      </c>
      <c r="I8" s="2">
        <f t="shared" si="1"/>
        <v>0.48550947585861004</v>
      </c>
    </row>
    <row r="9" spans="1:9" x14ac:dyDescent="0.3">
      <c r="B9" t="s">
        <v>52</v>
      </c>
      <c r="C9" t="s">
        <v>26</v>
      </c>
      <c r="D9" s="3">
        <v>13</v>
      </c>
      <c r="E9" s="3">
        <v>302500</v>
      </c>
      <c r="F9" s="3">
        <v>226500</v>
      </c>
      <c r="G9" s="3">
        <v>2944500</v>
      </c>
      <c r="H9" s="3">
        <f t="shared" si="0"/>
        <v>-988000</v>
      </c>
      <c r="I9" s="2">
        <f t="shared" si="1"/>
        <v>-0.25123966942148762</v>
      </c>
    </row>
    <row r="10" spans="1:9" x14ac:dyDescent="0.3">
      <c r="B10" t="s">
        <v>53</v>
      </c>
      <c r="C10" t="s">
        <v>26</v>
      </c>
      <c r="D10" s="3">
        <v>1500</v>
      </c>
      <c r="E10" s="3">
        <v>5146</v>
      </c>
      <c r="F10" s="3">
        <v>4360</v>
      </c>
      <c r="G10" s="3">
        <v>6540000</v>
      </c>
      <c r="H10" s="3">
        <f t="shared" si="0"/>
        <v>-1179000</v>
      </c>
      <c r="I10" s="2">
        <f t="shared" si="1"/>
        <v>-0.1527399922269724</v>
      </c>
    </row>
    <row r="11" spans="1:9" x14ac:dyDescent="0.3">
      <c r="B11" t="s">
        <v>54</v>
      </c>
      <c r="C11" t="s">
        <v>26</v>
      </c>
      <c r="D11" s="3">
        <v>536</v>
      </c>
      <c r="E11" s="3">
        <v>13049</v>
      </c>
      <c r="F11" s="3">
        <v>3925</v>
      </c>
      <c r="G11" s="3">
        <v>2103800</v>
      </c>
      <c r="H11" s="3">
        <f t="shared" si="0"/>
        <v>-4890464</v>
      </c>
      <c r="I11" s="2">
        <f t="shared" si="1"/>
        <v>-0.69921066748409844</v>
      </c>
    </row>
    <row r="12" spans="1:9" x14ac:dyDescent="0.3">
      <c r="B12" t="s">
        <v>55</v>
      </c>
      <c r="C12" t="s">
        <v>58</v>
      </c>
      <c r="D12" s="3">
        <v>500</v>
      </c>
      <c r="E12" s="3">
        <v>14210</v>
      </c>
      <c r="F12" s="3">
        <v>17720</v>
      </c>
      <c r="G12" s="3">
        <v>8860000</v>
      </c>
      <c r="H12" s="3">
        <f t="shared" si="0"/>
        <v>1755000</v>
      </c>
      <c r="I12" s="2">
        <f t="shared" si="1"/>
        <v>0.247009148486981</v>
      </c>
    </row>
    <row r="13" spans="1:9" x14ac:dyDescent="0.3">
      <c r="B13" t="s">
        <v>56</v>
      </c>
      <c r="C13" t="s">
        <v>58</v>
      </c>
      <c r="D13" s="3">
        <v>742</v>
      </c>
      <c r="E13" s="3">
        <v>14815</v>
      </c>
      <c r="F13" s="3">
        <v>15465</v>
      </c>
      <c r="G13" s="3">
        <v>11475030</v>
      </c>
      <c r="H13" s="3">
        <f t="shared" si="0"/>
        <v>482300</v>
      </c>
      <c r="I13" s="2">
        <f t="shared" si="1"/>
        <v>4.3874451569355384E-2</v>
      </c>
    </row>
    <row r="14" spans="1:9" x14ac:dyDescent="0.3">
      <c r="B14" t="s">
        <v>57</v>
      </c>
      <c r="C14" t="s">
        <v>58</v>
      </c>
      <c r="D14" s="3">
        <v>866</v>
      </c>
      <c r="E14" s="3">
        <v>12360</v>
      </c>
      <c r="F14" s="3">
        <v>13465</v>
      </c>
      <c r="G14" s="3">
        <v>11660690</v>
      </c>
      <c r="H14" s="3">
        <f t="shared" si="0"/>
        <v>956930</v>
      </c>
      <c r="I14" s="2">
        <f t="shared" si="1"/>
        <v>8.9401294498381884E-2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A1:I1 A3 A2 C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Views>
    <sheetView workbookViewId="0"/>
  </sheetViews>
  <sheetFormatPr defaultRowHeight="17.25" x14ac:dyDescent="0.3"/>
  <sheetData>
    <row r="1" spans="1:10" x14ac:dyDescent="0.3">
      <c r="A1" t="s">
        <v>28</v>
      </c>
      <c r="B1" t="s">
        <v>15</v>
      </c>
      <c r="C1" t="s">
        <v>16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</row>
    <row r="2" spans="1:10" x14ac:dyDescent="0.3">
      <c r="A2" t="s">
        <v>36</v>
      </c>
      <c r="B2" t="s">
        <v>24</v>
      </c>
      <c r="C2" t="s">
        <v>25</v>
      </c>
      <c r="D2" t="s">
        <v>37</v>
      </c>
      <c r="E2">
        <v>50</v>
      </c>
      <c r="F2">
        <v>68000</v>
      </c>
      <c r="G2">
        <v>3400000</v>
      </c>
      <c r="H2">
        <v>5100</v>
      </c>
      <c r="I2">
        <v>0</v>
      </c>
      <c r="J2">
        <v>-5100</v>
      </c>
    </row>
    <row r="3" spans="1:10" x14ac:dyDescent="0.3">
      <c r="A3" t="s">
        <v>38</v>
      </c>
      <c r="B3" t="s">
        <v>24</v>
      </c>
      <c r="C3" t="s">
        <v>25</v>
      </c>
      <c r="D3" t="s">
        <v>39</v>
      </c>
      <c r="E3">
        <v>20</v>
      </c>
      <c r="F3">
        <v>75000</v>
      </c>
      <c r="G3">
        <v>1500000</v>
      </c>
      <c r="H3">
        <v>2250</v>
      </c>
      <c r="I3">
        <v>2250</v>
      </c>
      <c r="J3">
        <v>135500</v>
      </c>
    </row>
  </sheetData>
  <phoneticPr fontId="2" type="noConversion"/>
  <pageMargins left="0.7" right="0.7" top="0.75" bottom="0.75" header="0.3" footer="0.3"/>
  <ignoredErrors>
    <ignoredError sqref="A1:J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1. 은행 및 보험 자산</vt:lpstr>
      <vt:lpstr>2. 주식 및 ETF 자산</vt:lpstr>
      <vt:lpstr>3. 주식 매매기록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SKILLSUPPORT</dc:creator>
  <cp:lastModifiedBy>SKILLSUPPORT</cp:lastModifiedBy>
  <dcterms:created xsi:type="dcterms:W3CDTF">2026-06-18T04:46:12Z</dcterms:created>
  <dcterms:modified xsi:type="dcterms:W3CDTF">2026-06-18T04:51:20Z</dcterms:modified>
</cp:coreProperties>
</file>