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oding_W\money-dashboard\"/>
    </mc:Choice>
  </mc:AlternateContent>
  <bookViews>
    <workbookView xWindow="0" yWindow="0" windowWidth="25125" windowHeight="12165" activeTab="1"/>
  </bookViews>
  <sheets>
    <sheet name="1. 은행 및 보험 자산" sheetId="1" r:id="rId1"/>
    <sheet name="2. 주식 및 ETF 자산" sheetId="2" r:id="rId2"/>
    <sheet name="3. 주식 매매기록" sheetId="3" r:id="rId3"/>
  </sheets>
  <calcPr calcId="162913"/>
</workbook>
</file>

<file path=xl/calcChain.xml><?xml version="1.0" encoding="utf-8"?>
<calcChain xmlns="http://schemas.openxmlformats.org/spreadsheetml/2006/main">
  <c r="H18" i="2" l="1"/>
  <c r="I18" i="2" s="1"/>
  <c r="J5" i="3" l="1"/>
  <c r="J4" i="3"/>
  <c r="J3" i="3"/>
  <c r="J2" i="3"/>
  <c r="H5" i="3"/>
  <c r="H4" i="3"/>
  <c r="H3" i="3"/>
  <c r="H2" i="3"/>
  <c r="H17" i="2"/>
  <c r="I17" i="2" s="1"/>
  <c r="H16" i="2"/>
  <c r="I16" i="2" s="1"/>
  <c r="H15" i="2"/>
  <c r="I15" i="2" s="1"/>
  <c r="I14" i="2" l="1"/>
  <c r="I13" i="2"/>
  <c r="I11" i="2"/>
  <c r="I10" i="2"/>
  <c r="I9" i="2"/>
  <c r="I8" i="2"/>
  <c r="I7" i="2"/>
  <c r="I6" i="2"/>
  <c r="I5" i="2"/>
  <c r="I4" i="2"/>
  <c r="I3" i="2"/>
  <c r="I2" i="2"/>
  <c r="H14" i="2"/>
  <c r="H13" i="2"/>
  <c r="H12" i="2"/>
  <c r="I12" i="2" s="1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<sst xmlns="http://schemas.openxmlformats.org/spreadsheetml/2006/main" count="110" uniqueCount="86">
  <si>
    <t>자산구분</t>
  </si>
  <si>
    <t>금융기관명</t>
  </si>
  <si>
    <t>상품명</t>
  </si>
  <si>
    <t>계좌번호</t>
  </si>
  <si>
    <t>만기일</t>
  </si>
  <si>
    <t>금액(원)</t>
  </si>
  <si>
    <t>이자율(%)</t>
  </si>
  <si>
    <t>비고</t>
  </si>
  <si>
    <t>은행</t>
  </si>
  <si>
    <t>국민은행</t>
  </si>
  <si>
    <t>1234-56-7890</t>
  </si>
  <si>
    <t>보험</t>
  </si>
  <si>
    <t>저축형보험</t>
  </si>
  <si>
    <t>9876-54-3210</t>
  </si>
  <si>
    <t/>
  </si>
  <si>
    <t>종목코드</t>
  </si>
  <si>
    <t>종목명</t>
  </si>
  <si>
    <t>구분</t>
  </si>
  <si>
    <t>보유수량</t>
  </si>
  <si>
    <t>평균단가(원)</t>
  </si>
  <si>
    <t>현재가(원)</t>
  </si>
  <si>
    <t>평가금액(원)</t>
  </si>
  <si>
    <t>손익(원)</t>
  </si>
  <si>
    <t>수익률(%)</t>
  </si>
  <si>
    <t>005930</t>
  </si>
  <si>
    <t>주식</t>
  </si>
  <si>
    <t>069500</t>
  </si>
  <si>
    <t>거래일자</t>
  </si>
  <si>
    <t>거래구분</t>
  </si>
  <si>
    <t>거래수량</t>
  </si>
  <si>
    <t>거래단가(원)</t>
  </si>
  <si>
    <t>거래금액(원)</t>
  </si>
  <si>
    <t>수수료(원)</t>
  </si>
  <si>
    <t>세금(원)</t>
  </si>
  <si>
    <t>순손익(원)</t>
  </si>
  <si>
    <t>2025-01-15</t>
  </si>
  <si>
    <t>매수</t>
  </si>
  <si>
    <t>2025-03-20</t>
  </si>
  <si>
    <t>은행</t>
    <phoneticPr fontId="2" type="noConversion"/>
  </si>
  <si>
    <t>IM뱅크</t>
    <phoneticPr fontId="2" type="noConversion"/>
  </si>
  <si>
    <t>저축예금</t>
    <phoneticPr fontId="2" type="noConversion"/>
  </si>
  <si>
    <t>KDB생명</t>
    <phoneticPr fontId="2" type="noConversion"/>
  </si>
  <si>
    <t>1234-56-7891</t>
    <phoneticPr fontId="2" type="noConversion"/>
  </si>
  <si>
    <t>삼천리</t>
    <phoneticPr fontId="2" type="noConversion"/>
  </si>
  <si>
    <t>삼성전자</t>
    <phoneticPr fontId="2" type="noConversion"/>
  </si>
  <si>
    <t>NAVER</t>
    <phoneticPr fontId="2" type="noConversion"/>
  </si>
  <si>
    <t>JYP Ent.</t>
    <phoneticPr fontId="2" type="noConversion"/>
  </si>
  <si>
    <t>TIGER 미국배당다우존스</t>
    <phoneticPr fontId="2" type="noConversion"/>
  </si>
  <si>
    <t>KODEX 미국배당커버드콜액티브</t>
    <phoneticPr fontId="2" type="noConversion"/>
  </si>
  <si>
    <t>KODEX 미국AI전력핵심인프라</t>
    <phoneticPr fontId="2" type="noConversion"/>
  </si>
  <si>
    <t>하이브</t>
    <phoneticPr fontId="2" type="noConversion"/>
  </si>
  <si>
    <t>오스테오닉</t>
    <phoneticPr fontId="2" type="noConversion"/>
  </si>
  <si>
    <t>플라즈맵</t>
    <phoneticPr fontId="2" type="noConversion"/>
  </si>
  <si>
    <t>KODEX 고배당주</t>
    <phoneticPr fontId="2" type="noConversion"/>
  </si>
  <si>
    <t>TIGER 미국배당다우존스</t>
    <phoneticPr fontId="2" type="noConversion"/>
  </si>
  <si>
    <t>TIGER 미국배당다우존스타겟커버드콜1호</t>
    <phoneticPr fontId="2" type="noConversion"/>
  </si>
  <si>
    <t>ETF</t>
    <phoneticPr fontId="2" type="noConversion"/>
  </si>
  <si>
    <t>IRP</t>
    <phoneticPr fontId="2" type="noConversion"/>
  </si>
  <si>
    <t>KODEX 차이나기술</t>
    <phoneticPr fontId="2" type="noConversion"/>
  </si>
  <si>
    <t>KODEX 채권</t>
    <phoneticPr fontId="2" type="noConversion"/>
  </si>
  <si>
    <t>ACE 반도체ETF</t>
    <phoneticPr fontId="2" type="noConversion"/>
  </si>
  <si>
    <t>현대차</t>
    <phoneticPr fontId="2" type="noConversion"/>
  </si>
  <si>
    <t>미래에셋</t>
    <phoneticPr fontId="2" type="noConversion"/>
  </si>
  <si>
    <t>매도</t>
    <phoneticPr fontId="2" type="noConversion"/>
  </si>
  <si>
    <t>메도</t>
    <phoneticPr fontId="2" type="noConversion"/>
  </si>
  <si>
    <t>은행</t>
    <phoneticPr fontId="2" type="noConversion"/>
  </si>
  <si>
    <t>농협은행</t>
    <phoneticPr fontId="2" type="noConversion"/>
  </si>
  <si>
    <t>123-425-7853</t>
    <phoneticPr fontId="2" type="noConversion"/>
  </si>
  <si>
    <t>069501</t>
  </si>
  <si>
    <t>069502</t>
  </si>
  <si>
    <t>069503</t>
  </si>
  <si>
    <t>069504</t>
  </si>
  <si>
    <t>069505</t>
  </si>
  <si>
    <t>069506</t>
  </si>
  <si>
    <t>069507</t>
  </si>
  <si>
    <t>069508</t>
  </si>
  <si>
    <t>069509</t>
  </si>
  <si>
    <t>069510</t>
  </si>
  <si>
    <t>069511</t>
  </si>
  <si>
    <t>069512</t>
  </si>
  <si>
    <t>069513</t>
  </si>
  <si>
    <t>069514</t>
  </si>
  <si>
    <t>`</t>
    <phoneticPr fontId="2" type="noConversion"/>
  </si>
  <si>
    <t>069515</t>
  </si>
  <si>
    <t>테슬라</t>
    <phoneticPr fontId="2" type="noConversion"/>
  </si>
  <si>
    <t>주식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</si>
</sst>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%"/>
  </numFmts>
  <fonts count="4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 applyNumberFormat="1"/>
    <xf numFmtId="14" fontId="0" fillId="0" borderId="0" xfId="0" applyNumberFormat="1"/>
    <xf numFmtId="176" fontId="0" fillId="0" borderId="0" xfId="1" applyNumberFormat="1" applyFont="1" applyAlignment="1"/>
    <xf numFmtId="37" fontId="3" fillId="0" borderId="0" xfId="0" applyNumberFormat="1" applyFont="1"/>
    <xf numFmtId="0" fontId="0" fillId="0" borderId="0" xfId="0" applyNumberFormat="1" applyAlignment="1">
      <alignment horizontal="center"/>
    </xf>
    <xf numFmtId="37" fontId="3" fillId="0" borderId="0" xfId="2" applyNumberFormat="1" applyFont="1" applyAlignment="1"/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G5" sqref="G5"/>
    </sheetView>
  </sheetViews>
  <sheetFormatPr defaultRowHeight="17.25" x14ac:dyDescent="0.3"/>
  <cols>
    <col min="4" max="4" width="32.44140625" customWidth="1"/>
    <col min="5" max="5" width="17.77734375" customWidth="1"/>
    <col min="6" max="6" width="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40</v>
      </c>
      <c r="D2" t="s">
        <v>10</v>
      </c>
      <c r="E2" s="1">
        <v>55153</v>
      </c>
      <c r="F2">
        <v>18666360</v>
      </c>
      <c r="G2">
        <v>1.5</v>
      </c>
    </row>
    <row r="3" spans="1:8" x14ac:dyDescent="0.3">
      <c r="A3" t="s">
        <v>38</v>
      </c>
      <c r="B3" t="s">
        <v>39</v>
      </c>
      <c r="C3" t="s">
        <v>40</v>
      </c>
      <c r="D3" t="s">
        <v>42</v>
      </c>
      <c r="E3" s="1">
        <v>55153</v>
      </c>
      <c r="F3">
        <v>12092101</v>
      </c>
      <c r="G3">
        <v>1.2</v>
      </c>
    </row>
    <row r="4" spans="1:8" x14ac:dyDescent="0.3">
      <c r="A4" t="s">
        <v>65</v>
      </c>
      <c r="B4" t="s">
        <v>66</v>
      </c>
      <c r="C4" t="s">
        <v>40</v>
      </c>
      <c r="D4" t="s">
        <v>67</v>
      </c>
      <c r="E4" s="1">
        <v>55153</v>
      </c>
      <c r="F4">
        <v>6500000</v>
      </c>
      <c r="G4">
        <v>2</v>
      </c>
    </row>
    <row r="5" spans="1:8" x14ac:dyDescent="0.3">
      <c r="A5" t="s">
        <v>11</v>
      </c>
      <c r="B5" t="s">
        <v>41</v>
      </c>
      <c r="C5" t="s">
        <v>12</v>
      </c>
      <c r="D5" t="s">
        <v>13</v>
      </c>
      <c r="E5" s="1">
        <v>58498</v>
      </c>
      <c r="F5">
        <v>83083517</v>
      </c>
      <c r="G5">
        <v>3</v>
      </c>
      <c r="H5" t="s">
        <v>14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5 A1:H1 A2:B2 D2 C5:D5 H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K12" sqref="K12"/>
    </sheetView>
  </sheetViews>
  <sheetFormatPr defaultRowHeight="17.25" x14ac:dyDescent="0.3"/>
  <cols>
    <col min="2" max="2" width="33.5546875" customWidth="1"/>
    <col min="4" max="4" width="9.109375" bestFit="1" customWidth="1"/>
    <col min="5" max="6" width="9.5546875" bestFit="1" customWidth="1"/>
    <col min="7" max="7" width="11.33203125" customWidth="1"/>
    <col min="8" max="8" width="10.44140625" bestFit="1" customWidth="1"/>
  </cols>
  <sheetData>
    <row r="1" spans="1:9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">
      <c r="A2" t="s">
        <v>24</v>
      </c>
      <c r="B2" t="s">
        <v>43</v>
      </c>
      <c r="C2" t="s">
        <v>25</v>
      </c>
      <c r="D2" s="5">
        <v>42</v>
      </c>
      <c r="E2" s="5">
        <v>120100</v>
      </c>
      <c r="F2" s="5">
        <v>120500</v>
      </c>
      <c r="G2" s="5">
        <v>5061000</v>
      </c>
      <c r="H2" s="5">
        <f>(F2-E2)*D2</f>
        <v>16800</v>
      </c>
      <c r="I2" s="2">
        <f>H2/(E2*D2)</f>
        <v>3.3305578684429643E-3</v>
      </c>
    </row>
    <row r="3" spans="1:9" x14ac:dyDescent="0.3">
      <c r="A3" t="s">
        <v>26</v>
      </c>
      <c r="B3" t="s">
        <v>44</v>
      </c>
      <c r="C3" t="s">
        <v>25</v>
      </c>
      <c r="D3" s="5">
        <v>55</v>
      </c>
      <c r="E3" s="5">
        <v>146600</v>
      </c>
      <c r="F3" s="5">
        <v>355750</v>
      </c>
      <c r="G3" s="5">
        <v>19566250</v>
      </c>
      <c r="H3" s="5">
        <f t="shared" ref="H3:H18" si="0">(F3-E3)*D3</f>
        <v>11503250</v>
      </c>
      <c r="I3" s="2">
        <f t="shared" ref="I3:I18" si="1">H3/(E3*D3)</f>
        <v>1.4266712141882674</v>
      </c>
    </row>
    <row r="4" spans="1:9" x14ac:dyDescent="0.3">
      <c r="A4" t="s">
        <v>68</v>
      </c>
      <c r="B4" t="s">
        <v>45</v>
      </c>
      <c r="C4" t="s">
        <v>25</v>
      </c>
      <c r="D4" s="5">
        <v>20</v>
      </c>
      <c r="E4" s="5">
        <v>253000</v>
      </c>
      <c r="F4" s="5">
        <v>236500</v>
      </c>
      <c r="G4" s="5">
        <v>4730000</v>
      </c>
      <c r="H4" s="5">
        <f t="shared" si="0"/>
        <v>-330000</v>
      </c>
      <c r="I4" s="2">
        <f t="shared" si="1"/>
        <v>-6.5217391304347824E-2</v>
      </c>
    </row>
    <row r="5" spans="1:9" x14ac:dyDescent="0.3">
      <c r="A5" t="s">
        <v>69</v>
      </c>
      <c r="B5" t="s">
        <v>46</v>
      </c>
      <c r="C5" t="s">
        <v>25</v>
      </c>
      <c r="D5" s="5">
        <v>70</v>
      </c>
      <c r="E5" s="5">
        <v>69800</v>
      </c>
      <c r="F5" s="5">
        <v>55800</v>
      </c>
      <c r="G5" s="5">
        <v>3906000</v>
      </c>
      <c r="H5" s="5">
        <f t="shared" si="0"/>
        <v>-980000</v>
      </c>
      <c r="I5" s="2">
        <f t="shared" si="1"/>
        <v>-0.20057306590257878</v>
      </c>
    </row>
    <row r="6" spans="1:9" x14ac:dyDescent="0.3">
      <c r="A6" t="s">
        <v>70</v>
      </c>
      <c r="B6" t="s">
        <v>48</v>
      </c>
      <c r="C6" t="s">
        <v>56</v>
      </c>
      <c r="D6" s="5">
        <v>189</v>
      </c>
      <c r="E6" s="5">
        <v>12277</v>
      </c>
      <c r="F6" s="5">
        <v>13520</v>
      </c>
      <c r="G6" s="5">
        <v>2555280</v>
      </c>
      <c r="H6" s="5">
        <f t="shared" si="0"/>
        <v>234927</v>
      </c>
      <c r="I6" s="2">
        <f t="shared" si="1"/>
        <v>0.10124623279302761</v>
      </c>
    </row>
    <row r="7" spans="1:9" x14ac:dyDescent="0.3">
      <c r="A7" t="s">
        <v>71</v>
      </c>
      <c r="B7" t="s">
        <v>47</v>
      </c>
      <c r="C7" t="s">
        <v>56</v>
      </c>
      <c r="D7" s="5">
        <v>2417</v>
      </c>
      <c r="E7" s="5">
        <v>13896</v>
      </c>
      <c r="F7" s="5">
        <v>15465</v>
      </c>
      <c r="G7" s="5">
        <v>37378905</v>
      </c>
      <c r="H7" s="5">
        <f t="shared" si="0"/>
        <v>3792273</v>
      </c>
      <c r="I7" s="2">
        <f t="shared" si="1"/>
        <v>0.11291018998272884</v>
      </c>
    </row>
    <row r="8" spans="1:9" x14ac:dyDescent="0.3">
      <c r="A8" t="s">
        <v>72</v>
      </c>
      <c r="B8" t="s">
        <v>49</v>
      </c>
      <c r="C8" t="s">
        <v>56</v>
      </c>
      <c r="D8" s="5">
        <v>169</v>
      </c>
      <c r="E8" s="5">
        <v>17886</v>
      </c>
      <c r="F8" s="5">
        <v>26569.8224852071</v>
      </c>
      <c r="G8" s="5">
        <v>4490300</v>
      </c>
      <c r="H8" s="5">
        <f t="shared" si="0"/>
        <v>1467565.9999999998</v>
      </c>
      <c r="I8" s="2">
        <f t="shared" si="1"/>
        <v>0.48550947585861004</v>
      </c>
    </row>
    <row r="9" spans="1:9" x14ac:dyDescent="0.3">
      <c r="A9" t="s">
        <v>73</v>
      </c>
      <c r="B9" t="s">
        <v>50</v>
      </c>
      <c r="C9" t="s">
        <v>25</v>
      </c>
      <c r="D9" s="5">
        <v>13</v>
      </c>
      <c r="E9" s="5">
        <v>302500</v>
      </c>
      <c r="F9" s="5">
        <v>226500</v>
      </c>
      <c r="G9" s="5">
        <v>2944500</v>
      </c>
      <c r="H9" s="5">
        <f t="shared" si="0"/>
        <v>-988000</v>
      </c>
      <c r="I9" s="2">
        <f t="shared" si="1"/>
        <v>-0.25123966942148762</v>
      </c>
    </row>
    <row r="10" spans="1:9" x14ac:dyDescent="0.3">
      <c r="A10" t="s">
        <v>74</v>
      </c>
      <c r="B10" t="s">
        <v>51</v>
      </c>
      <c r="C10" t="s">
        <v>25</v>
      </c>
      <c r="D10" s="5">
        <v>1500</v>
      </c>
      <c r="E10" s="5">
        <v>5146</v>
      </c>
      <c r="F10" s="5">
        <v>4360</v>
      </c>
      <c r="G10" s="5">
        <v>6540000</v>
      </c>
      <c r="H10" s="5">
        <f t="shared" si="0"/>
        <v>-1179000</v>
      </c>
      <c r="I10" s="2">
        <f t="shared" si="1"/>
        <v>-0.1527399922269724</v>
      </c>
    </row>
    <row r="11" spans="1:9" x14ac:dyDescent="0.3">
      <c r="A11" t="s">
        <v>75</v>
      </c>
      <c r="B11" t="s">
        <v>52</v>
      </c>
      <c r="C11" t="s">
        <v>25</v>
      </c>
      <c r="D11" s="5">
        <v>536</v>
      </c>
      <c r="E11" s="5">
        <v>13049</v>
      </c>
      <c r="F11" s="5">
        <v>3925</v>
      </c>
      <c r="G11" s="5">
        <v>2103800</v>
      </c>
      <c r="H11" s="5">
        <f t="shared" si="0"/>
        <v>-4890464</v>
      </c>
      <c r="I11" s="2">
        <f t="shared" si="1"/>
        <v>-0.69921066748409844</v>
      </c>
    </row>
    <row r="12" spans="1:9" x14ac:dyDescent="0.3">
      <c r="A12" t="s">
        <v>76</v>
      </c>
      <c r="B12" t="s">
        <v>53</v>
      </c>
      <c r="C12" t="s">
        <v>56</v>
      </c>
      <c r="D12" s="5">
        <v>500</v>
      </c>
      <c r="E12" s="5">
        <v>14210</v>
      </c>
      <c r="F12" s="5">
        <v>17720</v>
      </c>
      <c r="G12" s="5">
        <v>8860000</v>
      </c>
      <c r="H12" s="5">
        <f t="shared" si="0"/>
        <v>1755000</v>
      </c>
      <c r="I12" s="2">
        <f t="shared" si="1"/>
        <v>0.247009148486981</v>
      </c>
    </row>
    <row r="13" spans="1:9" x14ac:dyDescent="0.3">
      <c r="A13" t="s">
        <v>77</v>
      </c>
      <c r="B13" t="s">
        <v>54</v>
      </c>
      <c r="C13" t="s">
        <v>56</v>
      </c>
      <c r="D13" s="5">
        <v>742</v>
      </c>
      <c r="E13" s="5">
        <v>14815</v>
      </c>
      <c r="F13" s="5">
        <v>15465</v>
      </c>
      <c r="G13" s="5">
        <v>11475030</v>
      </c>
      <c r="H13" s="5">
        <f t="shared" si="0"/>
        <v>482300</v>
      </c>
      <c r="I13" s="2">
        <f t="shared" si="1"/>
        <v>4.3874451569355384E-2</v>
      </c>
    </row>
    <row r="14" spans="1:9" x14ac:dyDescent="0.3">
      <c r="A14" t="s">
        <v>78</v>
      </c>
      <c r="B14" t="s">
        <v>55</v>
      </c>
      <c r="C14" t="s">
        <v>56</v>
      </c>
      <c r="D14" s="5">
        <v>866</v>
      </c>
      <c r="E14" s="5">
        <v>12360</v>
      </c>
      <c r="F14" s="5">
        <v>13465</v>
      </c>
      <c r="G14" s="5">
        <v>11660690</v>
      </c>
      <c r="H14" s="5">
        <f t="shared" si="0"/>
        <v>956930</v>
      </c>
      <c r="I14" s="2">
        <f t="shared" si="1"/>
        <v>8.9401294498381884E-2</v>
      </c>
    </row>
    <row r="15" spans="1:9" x14ac:dyDescent="0.3">
      <c r="A15" t="s">
        <v>79</v>
      </c>
      <c r="B15" t="s">
        <v>58</v>
      </c>
      <c r="C15" t="s">
        <v>57</v>
      </c>
      <c r="D15" s="5">
        <v>100</v>
      </c>
      <c r="E15" s="5">
        <v>230000</v>
      </c>
      <c r="F15" s="5">
        <v>260000</v>
      </c>
      <c r="G15" s="5">
        <v>26000000</v>
      </c>
      <c r="H15" s="5">
        <f t="shared" si="0"/>
        <v>3000000</v>
      </c>
      <c r="I15" s="2">
        <f t="shared" si="1"/>
        <v>0.13043478260869565</v>
      </c>
    </row>
    <row r="16" spans="1:9" x14ac:dyDescent="0.3">
      <c r="A16" t="s">
        <v>80</v>
      </c>
      <c r="B16" t="s">
        <v>59</v>
      </c>
      <c r="C16" t="s">
        <v>57</v>
      </c>
      <c r="D16" s="5">
        <v>100</v>
      </c>
      <c r="E16" s="5">
        <v>350000</v>
      </c>
      <c r="F16" s="5">
        <v>365000</v>
      </c>
      <c r="G16" s="5">
        <v>36500000</v>
      </c>
      <c r="H16" s="5">
        <f t="shared" si="0"/>
        <v>1500000</v>
      </c>
      <c r="I16" s="2">
        <f t="shared" si="1"/>
        <v>4.2857142857142858E-2</v>
      </c>
    </row>
    <row r="17" spans="1:9" x14ac:dyDescent="0.3">
      <c r="A17" t="s">
        <v>81</v>
      </c>
      <c r="B17" t="s">
        <v>60</v>
      </c>
      <c r="C17" t="s">
        <v>57</v>
      </c>
      <c r="D17" s="5">
        <v>100</v>
      </c>
      <c r="E17" s="5">
        <v>210000</v>
      </c>
      <c r="F17" s="5">
        <v>450000</v>
      </c>
      <c r="G17" s="5">
        <v>45000000</v>
      </c>
      <c r="H17" s="5">
        <f t="shared" si="0"/>
        <v>24000000</v>
      </c>
      <c r="I17" s="2">
        <f t="shared" si="1"/>
        <v>1.1428571428571428</v>
      </c>
    </row>
    <row r="18" spans="1:9" x14ac:dyDescent="0.3">
      <c r="A18" t="s">
        <v>83</v>
      </c>
      <c r="B18" t="s">
        <v>84</v>
      </c>
      <c r="C18" t="s">
        <v>85</v>
      </c>
      <c r="D18" s="5">
        <v>30</v>
      </c>
      <c r="E18" s="5">
        <v>250000</v>
      </c>
      <c r="F18" s="5">
        <v>620000</v>
      </c>
      <c r="G18" s="3">
        <v>18600000</v>
      </c>
      <c r="H18" s="5">
        <f t="shared" si="0"/>
        <v>11100000</v>
      </c>
      <c r="I18" s="2">
        <f t="shared" si="1"/>
        <v>1.48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I1 A3 A2 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G16" sqref="G16"/>
    </sheetView>
  </sheetViews>
  <sheetFormatPr defaultRowHeight="17.25" x14ac:dyDescent="0.3"/>
  <cols>
    <col min="5" max="5" width="9.109375" bestFit="1" customWidth="1"/>
    <col min="7" max="7" width="10.21875" bestFit="1" customWidth="1"/>
    <col min="8" max="9" width="9.109375" bestFit="1" customWidth="1"/>
    <col min="10" max="10" width="10.21875" bestFit="1" customWidth="1"/>
  </cols>
  <sheetData>
    <row r="1" spans="1:12" x14ac:dyDescent="0.3">
      <c r="A1" t="s">
        <v>27</v>
      </c>
      <c r="B1" t="s">
        <v>15</v>
      </c>
      <c r="C1" t="s">
        <v>16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2" x14ac:dyDescent="0.3">
      <c r="A2" t="s">
        <v>35</v>
      </c>
      <c r="B2" s="4" t="s">
        <v>24</v>
      </c>
      <c r="C2" t="s">
        <v>61</v>
      </c>
      <c r="D2" t="s">
        <v>36</v>
      </c>
      <c r="E2" s="3">
        <v>50</v>
      </c>
      <c r="F2" s="3"/>
      <c r="G2" s="3">
        <v>3400000</v>
      </c>
      <c r="H2" s="3">
        <f>G2*0.1%</f>
        <v>3400</v>
      </c>
      <c r="I2" s="3">
        <v>0</v>
      </c>
      <c r="J2" s="3">
        <f>-H2</f>
        <v>-3400</v>
      </c>
    </row>
    <row r="3" spans="1:12" x14ac:dyDescent="0.3">
      <c r="A3" t="s">
        <v>37</v>
      </c>
      <c r="B3" s="4" t="s">
        <v>24</v>
      </c>
      <c r="C3" t="s">
        <v>61</v>
      </c>
      <c r="D3" t="s">
        <v>63</v>
      </c>
      <c r="E3" s="3">
        <v>50</v>
      </c>
      <c r="F3" s="3"/>
      <c r="G3" s="3">
        <v>7600000</v>
      </c>
      <c r="H3" s="3">
        <f>G3*0.1%</f>
        <v>7600</v>
      </c>
      <c r="I3" s="3">
        <v>0</v>
      </c>
      <c r="J3" s="3">
        <f>G3-G2-H3</f>
        <v>4192400</v>
      </c>
    </row>
    <row r="4" spans="1:12" x14ac:dyDescent="0.3">
      <c r="A4" t="s">
        <v>35</v>
      </c>
      <c r="B4" s="4">
        <v>5933</v>
      </c>
      <c r="C4" t="s">
        <v>62</v>
      </c>
      <c r="D4" t="s">
        <v>36</v>
      </c>
      <c r="E4" s="3">
        <v>100</v>
      </c>
      <c r="F4" s="3"/>
      <c r="G4" s="3">
        <v>2100000</v>
      </c>
      <c r="H4" s="3">
        <f>G4*0.1%</f>
        <v>2100</v>
      </c>
      <c r="I4" s="3">
        <v>0</v>
      </c>
      <c r="J4" s="3">
        <f>-H4</f>
        <v>-2100</v>
      </c>
    </row>
    <row r="5" spans="1:12" x14ac:dyDescent="0.3">
      <c r="A5" t="s">
        <v>37</v>
      </c>
      <c r="B5" s="4">
        <v>5933</v>
      </c>
      <c r="C5" t="s">
        <v>62</v>
      </c>
      <c r="D5" t="s">
        <v>64</v>
      </c>
      <c r="E5" s="3">
        <v>100</v>
      </c>
      <c r="F5" s="3"/>
      <c r="G5" s="3">
        <v>5600000</v>
      </c>
      <c r="H5" s="3">
        <f>G5*0.1%</f>
        <v>5600</v>
      </c>
      <c r="I5" s="3">
        <v>0</v>
      </c>
      <c r="J5" s="3">
        <f>G5-G4-H5</f>
        <v>3494400</v>
      </c>
    </row>
    <row r="8" spans="1:12" x14ac:dyDescent="0.3">
      <c r="L8" t="s">
        <v>82</v>
      </c>
    </row>
  </sheetData>
  <phoneticPr fontId="2" type="noConversion"/>
  <pageMargins left="0.7" right="0.7" top="0.75" bottom="0.75" header="0.3" footer="0.3"/>
  <ignoredErrors>
    <ignoredError sqref="A1:J1 A2:B3 D2:E2 G2 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은행 및 보험 자산</vt:lpstr>
      <vt:lpstr>2. 주식 및 ETF 자산</vt:lpstr>
      <vt:lpstr>3. 주식 매매기록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SKILLSUPPORT</dc:creator>
  <cp:lastModifiedBy>SKILLSUPPORT</cp:lastModifiedBy>
  <dcterms:created xsi:type="dcterms:W3CDTF">2026-06-18T04:46:12Z</dcterms:created>
  <dcterms:modified xsi:type="dcterms:W3CDTF">2026-06-18T07:09:34Z</dcterms:modified>
</cp:coreProperties>
</file>